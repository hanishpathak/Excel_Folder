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B11C62A-8E73-4E7B-A30C-DEF0A8CFE7A2}" xr6:coauthVersionLast="47" xr6:coauthVersionMax="47" xr10:uidLastSave="{00000000-0000-0000-0000-000000000000}"/>
  <bookViews>
    <workbookView xWindow="-108" yWindow="-108" windowWidth="23256" windowHeight="12456" xr2:uid="{10D275D6-37E2-4282-B703-12F9CC70C935}"/>
  </bookViews>
  <sheets>
    <sheet name="And_Not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3" i="1" l="1"/>
  <c r="E33" i="1"/>
  <c r="D33" i="1"/>
  <c r="E24" i="1"/>
  <c r="D24" i="1"/>
  <c r="E15" i="1"/>
  <c r="D15" i="1"/>
  <c r="F5" i="1"/>
  <c r="E5" i="1"/>
  <c r="D5" i="1"/>
</calcChain>
</file>

<file path=xl/sharedStrings.xml><?xml version="1.0" encoding="utf-8"?>
<sst xmlns="http://schemas.openxmlformats.org/spreadsheetml/2006/main" count="149" uniqueCount="97">
  <si>
    <t>Case 1: Student Pass/Fail</t>
  </si>
  <si>
    <t>Student</t>
  </si>
  <si>
    <t>Math</t>
  </si>
  <si>
    <t>Science</t>
  </si>
  <si>
    <t>Result_AND</t>
  </si>
  <si>
    <t>Result_AND/NOT</t>
  </si>
  <si>
    <t>IF/AND</t>
  </si>
  <si>
    <t>Alice</t>
  </si>
  <si>
    <t>Bob</t>
  </si>
  <si>
    <t>Carol</t>
  </si>
  <si>
    <t>David</t>
  </si>
  <si>
    <t>Case 2: Employee Eligibility</t>
  </si>
  <si>
    <t>Employee</t>
  </si>
  <si>
    <t>Experience (Years)</t>
  </si>
  <si>
    <t>Training Completed (Y/N)</t>
  </si>
  <si>
    <t>Eligible? Result_AND</t>
  </si>
  <si>
    <t>Eligible?  Result_AND/NOT</t>
  </si>
  <si>
    <t>John</t>
  </si>
  <si>
    <t>Y</t>
  </si>
  <si>
    <t>Sarah</t>
  </si>
  <si>
    <t>Tom</t>
  </si>
  <si>
    <t>N</t>
  </si>
  <si>
    <t>Nina</t>
  </si>
  <si>
    <t>Case 3: Product Discount</t>
  </si>
  <si>
    <t>Product</t>
  </si>
  <si>
    <t>Price</t>
  </si>
  <si>
    <t>In Stock (Y/N)</t>
  </si>
  <si>
    <t>Discount Applicable? Result_AND</t>
  </si>
  <si>
    <t>Discount Applicable?  Result_AND/NOT</t>
  </si>
  <si>
    <t>P1</t>
  </si>
  <si>
    <t>P2</t>
  </si>
  <si>
    <t>P3</t>
  </si>
  <si>
    <t>P4</t>
  </si>
  <si>
    <t>Case 4: Attendance &amp; Exam Eligibility</t>
  </si>
  <si>
    <t>Attendance %</t>
  </si>
  <si>
    <t>Fees Paid (Y/N)</t>
  </si>
  <si>
    <t>Exam Eligible? Result_AND</t>
  </si>
  <si>
    <t>Exam Eligible?  Result_AND/NOT</t>
  </si>
  <si>
    <t>Adam</t>
  </si>
  <si>
    <t>Bella</t>
  </si>
  <si>
    <t>Carl</t>
  </si>
  <si>
    <t>Daisy</t>
  </si>
  <si>
    <t>Evan</t>
  </si>
  <si>
    <t>Case 5: Sales Target Bonus</t>
  </si>
  <si>
    <t>Sales Rep</t>
  </si>
  <si>
    <t>Monthly Sales</t>
  </si>
  <si>
    <t>New Clients</t>
  </si>
  <si>
    <t>Bonus Eligible? Result_AND</t>
  </si>
  <si>
    <t>Bonus Eligible?  Result_AND/NOT</t>
  </si>
  <si>
    <t>Alex</t>
  </si>
  <si>
    <t>Betty</t>
  </si>
  <si>
    <t>Chris</t>
  </si>
  <si>
    <t>Diana</t>
  </si>
  <si>
    <t>Ethan</t>
  </si>
  <si>
    <t>Case 1</t>
  </si>
  <si>
    <t>Show a student as “Pass” if he/she has 40 or more marks in all subjects.</t>
  </si>
  <si>
    <t>Name</t>
  </si>
  <si>
    <t>English</t>
  </si>
  <si>
    <t>Result</t>
  </si>
  <si>
    <t>Ravi</t>
  </si>
  <si>
    <t>Neha</t>
  </si>
  <si>
    <t>Amit</t>
  </si>
  <si>
    <t>Rina</t>
  </si>
  <si>
    <t>Case 2</t>
  </si>
  <si>
    <t>Give “Bonus” to the employee if his Attendance is &gt; 90% and Sales is &gt; 50000.</t>
  </si>
  <si>
    <t>Attendance</t>
  </si>
  <si>
    <t>Sales</t>
  </si>
  <si>
    <t>Case 3</t>
  </si>
  <si>
    <t>Check “Eligible” if age &gt;18 or experience &gt;2 years.</t>
  </si>
  <si>
    <t>Age</t>
  </si>
  <si>
    <t>Experience</t>
  </si>
  <si>
    <t>Case 4</t>
  </si>
  <si>
    <t>Give “Scholarship” to the student if Grade = “A” and Attendance ≥ 85%.</t>
  </si>
  <si>
    <t>Grade</t>
  </si>
  <si>
    <t>A</t>
  </si>
  <si>
    <t>B</t>
  </si>
  <si>
    <t>C</t>
  </si>
  <si>
    <t>Case 5</t>
  </si>
  <si>
    <t>Give “Discount” to a product if the category is “Electronics” or price is &gt; 10000.</t>
  </si>
  <si>
    <t>Category</t>
  </si>
  <si>
    <t>Headphone</t>
  </si>
  <si>
    <t>Electronics</t>
  </si>
  <si>
    <t>Chair</t>
  </si>
  <si>
    <t>Furniture</t>
  </si>
  <si>
    <t>Microwave</t>
  </si>
  <si>
    <t>Jeans</t>
  </si>
  <si>
    <t>Clothing</t>
  </si>
  <si>
    <t>Case 6</t>
  </si>
  <si>
    <t>“Promotion” two if Performance ≥4 and Service Years ≥3.</t>
  </si>
  <si>
    <t>Performance</t>
  </si>
  <si>
    <t>Service_Years</t>
  </si>
  <si>
    <t>Case 7</t>
  </si>
  <si>
    <t>Give “Special Offer” if Customer Type = “Premium” or Total Purchase &gt; ₹20000.</t>
  </si>
  <si>
    <t>Type</t>
  </si>
  <si>
    <t>Total_Purchase</t>
  </si>
  <si>
    <t>Premium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</si>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</sst>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8"/>
      <color theme="1"/>
      <name val="FkGrotesk"/>
    </font>
    <font>
      <sz val="9.6"/>
      <color theme="1"/>
      <name val="Segoe UI"/>
      <family val="2"/>
    </font>
    <font>
      <b/>
      <sz val="20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5" fillId="3" borderId="0" xfId="0" applyFont="1" applyFill="1" applyAlignment="1">
      <alignment horizontal="center"/>
    </xf>
    <xf numFmtId="0" fontId="0" fillId="2" borderId="0" xfId="0" applyFill="1" applyAlignment="1">
      <alignment horizontal="left" wrapText="1"/>
    </xf>
    <xf numFmtId="0" fontId="1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0" fillId="0" borderId="2" xfId="0" applyBorder="1"/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F291-44FC-45DE-83E2-9F51D24F3FFE}">
  <dimension ref="A2:F47"/>
  <sheetViews>
    <sheetView tabSelected="1" workbookViewId="0">
      <selection activeCell="G10" sqref="G10"/>
    </sheetView>
  </sheetViews>
  <sheetFormatPr defaultRowHeight="14.4"/>
  <cols>
    <col min="1" max="1" width="57.88671875" bestFit="1" customWidth="1"/>
    <col min="2" max="2" width="15.109375" bestFit="1" customWidth="1"/>
    <col min="3" max="3" width="21" bestFit="1" customWidth="1"/>
    <col min="4" max="4" width="27.109375" bestFit="1" customWidth="1"/>
    <col min="5" max="5" width="31.88671875" bestFit="1" customWidth="1"/>
    <col min="6" max="6" width="6.6640625" bestFit="1" customWidth="1"/>
  </cols>
  <sheetData>
    <row r="2" spans="1:6" ht="22.8">
      <c r="A2" s="1" t="s">
        <v>0</v>
      </c>
    </row>
    <row r="3" spans="1:6" ht="15.6" thickBot="1">
      <c r="A3" s="2"/>
    </row>
    <row r="4" spans="1:6" ht="15" thickBot="1">
      <c r="A4" s="3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3" t="s">
        <v>6</v>
      </c>
    </row>
    <row r="5" spans="1:6" ht="15" thickBot="1">
      <c r="A5" s="5" t="s">
        <v>7</v>
      </c>
      <c r="B5" s="5">
        <v>75</v>
      </c>
      <c r="C5" s="5">
        <v>85</v>
      </c>
      <c r="D5" s="5" t="b">
        <f>AND(B2&gt;=50, C2&gt;=50)</f>
        <v>0</v>
      </c>
      <c r="E5" s="5" t="b">
        <f>NOT(AND(B2&gt;=50, C2&gt;=50))</f>
        <v>1</v>
      </c>
      <c r="F5" s="6" t="str">
        <f>IF(AND(B2&gt;=50, C2&gt;=50), "Pass", "Fail")</f>
        <v>Fail</v>
      </c>
    </row>
    <row r="6" spans="1:6" ht="15" thickBot="1">
      <c r="A6" s="5" t="s">
        <v>8</v>
      </c>
      <c r="B6" s="5">
        <v>40</v>
      </c>
      <c r="C6" s="5">
        <v>65</v>
      </c>
      <c r="D6" s="5"/>
      <c r="E6" s="5"/>
      <c r="F6" s="6"/>
    </row>
    <row r="7" spans="1:6" ht="15" thickBot="1">
      <c r="A7" s="5" t="s">
        <v>9</v>
      </c>
      <c r="B7" s="5">
        <v>90</v>
      </c>
      <c r="C7" s="5">
        <v>92</v>
      </c>
      <c r="D7" s="5"/>
      <c r="E7" s="5"/>
      <c r="F7" s="6"/>
    </row>
    <row r="8" spans="1:6" ht="15" thickBot="1">
      <c r="A8" s="5" t="s">
        <v>10</v>
      </c>
      <c r="B8" s="5">
        <v>60</v>
      </c>
      <c r="C8" s="5">
        <v>35</v>
      </c>
      <c r="D8" s="5"/>
      <c r="E8" s="5"/>
      <c r="F8" s="6"/>
    </row>
    <row r="12" spans="1:6" ht="22.8">
      <c r="A12" s="1" t="s">
        <v>11</v>
      </c>
    </row>
    <row r="13" spans="1:6" ht="15.6" thickBot="1">
      <c r="A13" s="2"/>
    </row>
    <row r="14" spans="1:6" ht="15" thickBot="1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16</v>
      </c>
    </row>
    <row r="15" spans="1:6" ht="15" thickBot="1">
      <c r="A15" s="5" t="s">
        <v>17</v>
      </c>
      <c r="B15" s="5">
        <v>5</v>
      </c>
      <c r="C15" s="5" t="s">
        <v>18</v>
      </c>
      <c r="D15" s="5" t="b">
        <f>AND(B2&gt;=4, C2="Y")</f>
        <v>0</v>
      </c>
      <c r="E15" s="5" t="b">
        <f>NOT(AND(B2&gt;=4, C2="Y"))</f>
        <v>1</v>
      </c>
    </row>
    <row r="16" spans="1:6" ht="15" thickBot="1">
      <c r="A16" s="5" t="s">
        <v>19</v>
      </c>
      <c r="B16" s="5">
        <v>3</v>
      </c>
      <c r="C16" s="5" t="s">
        <v>18</v>
      </c>
      <c r="D16" s="5"/>
      <c r="E16" s="5"/>
    </row>
    <row r="17" spans="1:5" ht="15" thickBot="1">
      <c r="A17" s="5" t="s">
        <v>20</v>
      </c>
      <c r="B17" s="5">
        <v>7</v>
      </c>
      <c r="C17" s="5" t="s">
        <v>21</v>
      </c>
      <c r="D17" s="5"/>
      <c r="E17" s="5"/>
    </row>
    <row r="18" spans="1:5" ht="15" thickBot="1">
      <c r="A18" s="5" t="s">
        <v>22</v>
      </c>
      <c r="B18" s="5">
        <v>2</v>
      </c>
      <c r="C18" s="5" t="s">
        <v>21</v>
      </c>
      <c r="D18" s="5"/>
      <c r="E18" s="5"/>
    </row>
    <row r="21" spans="1:5" ht="22.8">
      <c r="A21" s="7" t="s">
        <v>23</v>
      </c>
    </row>
    <row r="22" spans="1:5" ht="15.6" thickBot="1">
      <c r="A22" s="8"/>
    </row>
    <row r="23" spans="1:5" ht="15" thickBot="1">
      <c r="A23" s="3" t="s">
        <v>24</v>
      </c>
      <c r="B23" s="3" t="s">
        <v>25</v>
      </c>
      <c r="C23" s="3" t="s">
        <v>26</v>
      </c>
      <c r="D23" s="3" t="s">
        <v>27</v>
      </c>
      <c r="E23" s="3" t="s">
        <v>28</v>
      </c>
    </row>
    <row r="24" spans="1:5" ht="15" thickBot="1">
      <c r="A24" s="9" t="s">
        <v>29</v>
      </c>
      <c r="B24" s="9">
        <v>120</v>
      </c>
      <c r="C24" s="9" t="s">
        <v>18</v>
      </c>
      <c r="D24" s="9" t="b">
        <f>AND(B2&gt;100, C2="Y")</f>
        <v>0</v>
      </c>
      <c r="E24" s="6" t="b">
        <f>NOT(AND(B2&gt;100, C2="Y"))</f>
        <v>1</v>
      </c>
    </row>
    <row r="25" spans="1:5" ht="15" thickBot="1">
      <c r="A25" s="9" t="s">
        <v>30</v>
      </c>
      <c r="B25" s="9">
        <v>80</v>
      </c>
      <c r="C25" s="9" t="s">
        <v>18</v>
      </c>
      <c r="D25" s="9"/>
      <c r="E25" s="6"/>
    </row>
    <row r="26" spans="1:5" ht="15" thickBot="1">
      <c r="A26" s="9" t="s">
        <v>31</v>
      </c>
      <c r="B26" s="9">
        <v>150</v>
      </c>
      <c r="C26" s="9" t="s">
        <v>21</v>
      </c>
      <c r="D26" s="9"/>
      <c r="E26" s="6"/>
    </row>
    <row r="27" spans="1:5" ht="15" thickBot="1">
      <c r="A27" s="9" t="s">
        <v>32</v>
      </c>
      <c r="B27" s="9">
        <v>200</v>
      </c>
      <c r="C27" s="9" t="s">
        <v>18</v>
      </c>
      <c r="D27" s="9"/>
      <c r="E27" s="6"/>
    </row>
    <row r="30" spans="1:5" ht="22.8">
      <c r="A30" s="1" t="s">
        <v>33</v>
      </c>
    </row>
    <row r="31" spans="1:5" ht="15" thickBot="1"/>
    <row r="32" spans="1:5" ht="15" thickBot="1">
      <c r="A32" s="3" t="s">
        <v>1</v>
      </c>
      <c r="B32" s="3" t="s">
        <v>34</v>
      </c>
      <c r="C32" s="3" t="s">
        <v>35</v>
      </c>
      <c r="D32" s="3" t="s">
        <v>36</v>
      </c>
      <c r="E32" s="3" t="s">
        <v>37</v>
      </c>
    </row>
    <row r="33" spans="1:5" ht="15" thickBot="1">
      <c r="A33" s="9" t="s">
        <v>38</v>
      </c>
      <c r="B33" s="10">
        <v>0.9</v>
      </c>
      <c r="C33" s="9" t="s">
        <v>18</v>
      </c>
      <c r="D33" s="9" t="b">
        <f>AND(B2&gt;=75, C2="Y")</f>
        <v>0</v>
      </c>
      <c r="E33" s="11" t="b">
        <f>NOT(AND(B2&gt;=75, C2="Y"))</f>
        <v>1</v>
      </c>
    </row>
    <row r="34" spans="1:5" ht="15" thickBot="1">
      <c r="A34" s="9" t="s">
        <v>39</v>
      </c>
      <c r="B34" s="10">
        <v>0.75</v>
      </c>
      <c r="C34" s="9" t="s">
        <v>21</v>
      </c>
      <c r="D34" s="9"/>
      <c r="E34" s="11"/>
    </row>
    <row r="35" spans="1:5" ht="15" thickBot="1">
      <c r="A35" s="9" t="s">
        <v>40</v>
      </c>
      <c r="B35" s="10">
        <v>0.6</v>
      </c>
      <c r="C35" s="9" t="s">
        <v>18</v>
      </c>
      <c r="D35" s="9"/>
      <c r="E35" s="11"/>
    </row>
    <row r="36" spans="1:5" ht="15" thickBot="1">
      <c r="A36" s="9" t="s">
        <v>41</v>
      </c>
      <c r="B36" s="10">
        <v>0.95</v>
      </c>
      <c r="C36" s="9" t="s">
        <v>18</v>
      </c>
      <c r="D36" s="9"/>
      <c r="E36" s="11"/>
    </row>
    <row r="37" spans="1:5" ht="15" thickBot="1">
      <c r="A37" s="9" t="s">
        <v>42</v>
      </c>
      <c r="B37" s="10">
        <v>0.5</v>
      </c>
      <c r="C37" s="9" t="s">
        <v>21</v>
      </c>
      <c r="D37" s="9"/>
      <c r="E37" s="11"/>
    </row>
    <row r="40" spans="1:5" ht="22.8">
      <c r="A40" s="7" t="s">
        <v>43</v>
      </c>
    </row>
    <row r="41" spans="1:5" ht="15" thickBot="1"/>
    <row r="42" spans="1:5" ht="15" thickBot="1">
      <c r="A42" s="3" t="s">
        <v>44</v>
      </c>
      <c r="B42" s="3" t="s">
        <v>45</v>
      </c>
      <c r="C42" s="3" t="s">
        <v>46</v>
      </c>
      <c r="D42" s="3" t="s">
        <v>47</v>
      </c>
      <c r="E42" s="3" t="s">
        <v>48</v>
      </c>
    </row>
    <row r="43" spans="1:5" ht="15" thickBot="1">
      <c r="A43" s="9" t="s">
        <v>49</v>
      </c>
      <c r="B43" s="9">
        <v>25000</v>
      </c>
      <c r="C43" s="9">
        <v>6</v>
      </c>
      <c r="D43" s="9" t="b">
        <f>AND(B2&gt;=15000, C2&gt;=3)</f>
        <v>0</v>
      </c>
      <c r="E43" s="11"/>
    </row>
    <row r="44" spans="1:5" ht="15" thickBot="1">
      <c r="A44" s="9" t="s">
        <v>50</v>
      </c>
      <c r="B44" s="9">
        <v>12000</v>
      </c>
      <c r="C44" s="9">
        <v>5</v>
      </c>
      <c r="D44" s="9"/>
      <c r="E44" s="11"/>
    </row>
    <row r="45" spans="1:5" ht="15" thickBot="1">
      <c r="A45" s="9" t="s">
        <v>51</v>
      </c>
      <c r="B45" s="9">
        <v>18000</v>
      </c>
      <c r="C45" s="9">
        <v>2</v>
      </c>
      <c r="D45" s="9"/>
      <c r="E45" s="11"/>
    </row>
    <row r="46" spans="1:5" ht="15" thickBot="1">
      <c r="A46" s="9" t="s">
        <v>52</v>
      </c>
      <c r="B46" s="9">
        <v>30000</v>
      </c>
      <c r="C46" s="9">
        <v>8</v>
      </c>
      <c r="D46" s="9"/>
      <c r="E46" s="11"/>
    </row>
    <row r="47" spans="1:5" ht="15" thickBot="1">
      <c r="A47" s="9" t="s">
        <v>53</v>
      </c>
      <c r="B47" s="9">
        <v>10000</v>
      </c>
      <c r="C47" s="9">
        <v>1</v>
      </c>
      <c r="D47" s="9"/>
      <c r="E4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C73F-D989-431B-81FC-A93FBB05B180}">
  <dimension ref="A1:G71"/>
  <sheetViews>
    <sheetView workbookViewId="0">
      <selection activeCell="D63" sqref="D63"/>
    </sheetView>
  </sheetViews>
  <sheetFormatPr defaultRowHeight="14.4"/>
  <sheetData>
    <row r="1" spans="1:7">
      <c r="A1" s="12" t="s">
        <v>54</v>
      </c>
      <c r="B1" s="12"/>
    </row>
    <row r="2" spans="1:7">
      <c r="A2" s="12"/>
      <c r="B2" s="12"/>
    </row>
    <row r="3" spans="1:7">
      <c r="A3" s="17" t="s">
        <v>55</v>
      </c>
      <c r="B3" s="17"/>
      <c r="C3" s="17"/>
      <c r="D3" s="17"/>
      <c r="E3" s="17"/>
      <c r="F3" s="17"/>
      <c r="G3" s="17"/>
    </row>
    <row r="4" spans="1:7">
      <c r="A4" s="17"/>
      <c r="B4" s="17"/>
      <c r="C4" s="17"/>
      <c r="D4" s="17"/>
      <c r="E4" s="17"/>
      <c r="F4" s="17"/>
      <c r="G4" s="17"/>
    </row>
    <row r="5" spans="1:7">
      <c r="A5" s="14" t="s">
        <v>56</v>
      </c>
      <c r="B5" s="14" t="s">
        <v>2</v>
      </c>
      <c r="C5" s="14" t="s">
        <v>3</v>
      </c>
      <c r="D5" s="14" t="s">
        <v>57</v>
      </c>
      <c r="E5" s="15" t="s">
        <v>58</v>
      </c>
    </row>
    <row r="6" spans="1:7">
      <c r="A6" s="16" t="s">
        <v>59</v>
      </c>
      <c r="B6" s="16">
        <v>45</v>
      </c>
      <c r="C6" s="16">
        <v>52</v>
      </c>
      <c r="D6" s="16">
        <v>48</v>
      </c>
      <c r="E6" s="16"/>
    </row>
    <row r="7" spans="1:7">
      <c r="A7" s="16" t="s">
        <v>60</v>
      </c>
      <c r="B7" s="16">
        <v>39</v>
      </c>
      <c r="C7" s="16">
        <v>60</v>
      </c>
      <c r="D7" s="16">
        <v>42</v>
      </c>
      <c r="E7" s="16"/>
    </row>
    <row r="8" spans="1:7">
      <c r="A8" s="16" t="s">
        <v>61</v>
      </c>
      <c r="B8" s="16">
        <v>78</v>
      </c>
      <c r="C8" s="16">
        <v>81</v>
      </c>
      <c r="D8" s="16">
        <v>88</v>
      </c>
      <c r="E8" s="16"/>
    </row>
    <row r="9" spans="1:7">
      <c r="A9" s="16" t="s">
        <v>62</v>
      </c>
      <c r="B9" s="16">
        <v>33</v>
      </c>
      <c r="C9" s="16">
        <v>48</v>
      </c>
      <c r="D9" s="16">
        <v>52</v>
      </c>
      <c r="E9" s="16"/>
    </row>
    <row r="11" spans="1:7" ht="14.4" customHeight="1">
      <c r="A11" s="12" t="s">
        <v>63</v>
      </c>
      <c r="B11" s="12"/>
    </row>
    <row r="12" spans="1:7" ht="14.4" customHeight="1">
      <c r="A12" s="12"/>
      <c r="B12" s="12"/>
    </row>
    <row r="13" spans="1:7">
      <c r="A13" s="17" t="s">
        <v>64</v>
      </c>
      <c r="B13" s="17"/>
      <c r="C13" s="17"/>
      <c r="D13" s="17"/>
      <c r="E13" s="17"/>
      <c r="F13" s="17"/>
      <c r="G13" s="17"/>
    </row>
    <row r="14" spans="1:7">
      <c r="A14" s="17"/>
      <c r="B14" s="17"/>
      <c r="C14" s="17"/>
      <c r="D14" s="17"/>
      <c r="E14" s="17"/>
      <c r="F14" s="17"/>
      <c r="G14" s="17"/>
    </row>
    <row r="15" spans="1:7">
      <c r="A15" s="14" t="s">
        <v>56</v>
      </c>
      <c r="B15" s="14" t="s">
        <v>65</v>
      </c>
      <c r="C15" s="14" t="s">
        <v>66</v>
      </c>
      <c r="D15" s="15" t="s">
        <v>58</v>
      </c>
    </row>
    <row r="16" spans="1:7">
      <c r="A16" s="16" t="s">
        <v>59</v>
      </c>
      <c r="B16" s="16">
        <v>92</v>
      </c>
      <c r="C16" s="16">
        <v>65000</v>
      </c>
      <c r="D16" s="16"/>
    </row>
    <row r="17" spans="1:7">
      <c r="A17" s="16" t="s">
        <v>60</v>
      </c>
      <c r="B17" s="16">
        <v>87</v>
      </c>
      <c r="C17" s="16">
        <v>40000</v>
      </c>
      <c r="D17" s="16"/>
    </row>
    <row r="18" spans="1:7">
      <c r="A18" s="16" t="s">
        <v>61</v>
      </c>
      <c r="B18" s="16">
        <v>96</v>
      </c>
      <c r="C18" s="16">
        <v>90000</v>
      </c>
      <c r="D18" s="16"/>
    </row>
    <row r="19" spans="1:7">
      <c r="A19" s="16" t="s">
        <v>62</v>
      </c>
      <c r="B19" s="16">
        <v>89</v>
      </c>
      <c r="C19" s="16">
        <v>52000</v>
      </c>
      <c r="D19" s="16"/>
    </row>
    <row r="21" spans="1:7" ht="14.4" customHeight="1">
      <c r="A21" s="12" t="s">
        <v>67</v>
      </c>
      <c r="B21" s="12"/>
    </row>
    <row r="22" spans="1:7" ht="14.4" customHeight="1">
      <c r="A22" s="12"/>
      <c r="B22" s="12"/>
    </row>
    <row r="23" spans="1:7">
      <c r="A23" s="17" t="s">
        <v>68</v>
      </c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4" t="s">
        <v>56</v>
      </c>
      <c r="B25" s="14" t="s">
        <v>69</v>
      </c>
      <c r="C25" s="14" t="s">
        <v>70</v>
      </c>
      <c r="D25" s="15" t="s">
        <v>58</v>
      </c>
    </row>
    <row r="26" spans="1:7">
      <c r="A26" s="16" t="s">
        <v>59</v>
      </c>
      <c r="B26" s="16">
        <v>25</v>
      </c>
      <c r="C26" s="16">
        <v>1</v>
      </c>
      <c r="D26" s="16"/>
    </row>
    <row r="27" spans="1:7">
      <c r="A27" s="16" t="s">
        <v>60</v>
      </c>
      <c r="B27" s="16">
        <v>19</v>
      </c>
      <c r="C27" s="16">
        <v>3</v>
      </c>
      <c r="D27" s="16"/>
    </row>
    <row r="28" spans="1:7">
      <c r="A28" s="16" t="s">
        <v>61</v>
      </c>
      <c r="B28" s="16">
        <v>32</v>
      </c>
      <c r="C28" s="16">
        <v>4</v>
      </c>
      <c r="D28" s="16"/>
    </row>
    <row r="29" spans="1:7">
      <c r="A29" s="16" t="s">
        <v>62</v>
      </c>
      <c r="B29" s="16">
        <v>17</v>
      </c>
      <c r="C29" s="16">
        <v>1</v>
      </c>
      <c r="D29" s="16"/>
    </row>
    <row r="31" spans="1:7" ht="14.4" customHeight="1">
      <c r="A31" s="12" t="s">
        <v>71</v>
      </c>
      <c r="B31" s="12"/>
    </row>
    <row r="32" spans="1:7" ht="14.4" customHeight="1">
      <c r="A32" s="12"/>
      <c r="B32" s="12"/>
    </row>
    <row r="33" spans="1:7">
      <c r="A33" s="17" t="s">
        <v>72</v>
      </c>
      <c r="B33" s="17"/>
      <c r="C33" s="17"/>
      <c r="D33" s="17"/>
      <c r="E33" s="17"/>
      <c r="F33" s="17"/>
      <c r="G33" s="17"/>
    </row>
    <row r="34" spans="1:7">
      <c r="A34" s="17"/>
      <c r="B34" s="17"/>
      <c r="C34" s="17"/>
      <c r="D34" s="17"/>
      <c r="E34" s="17"/>
      <c r="F34" s="17"/>
      <c r="G34" s="17"/>
    </row>
    <row r="35" spans="1:7">
      <c r="A35" s="14" t="s">
        <v>56</v>
      </c>
      <c r="B35" s="14" t="s">
        <v>73</v>
      </c>
      <c r="C35" s="14" t="s">
        <v>65</v>
      </c>
      <c r="D35" s="15" t="s">
        <v>58</v>
      </c>
    </row>
    <row r="36" spans="1:7">
      <c r="A36" s="16" t="s">
        <v>59</v>
      </c>
      <c r="B36" s="16" t="s">
        <v>74</v>
      </c>
      <c r="C36" s="16">
        <v>92</v>
      </c>
      <c r="D36" s="16"/>
    </row>
    <row r="37" spans="1:7">
      <c r="A37" s="16" t="s">
        <v>60</v>
      </c>
      <c r="B37" s="16" t="s">
        <v>75</v>
      </c>
      <c r="C37" s="16">
        <v>87</v>
      </c>
      <c r="D37" s="16"/>
    </row>
    <row r="38" spans="1:7">
      <c r="A38" s="16" t="s">
        <v>61</v>
      </c>
      <c r="B38" s="16" t="s">
        <v>74</v>
      </c>
      <c r="C38" s="16">
        <v>96</v>
      </c>
      <c r="D38" s="16"/>
    </row>
    <row r="39" spans="1:7">
      <c r="A39" s="16" t="s">
        <v>62</v>
      </c>
      <c r="B39" s="16" t="s">
        <v>76</v>
      </c>
      <c r="C39" s="16">
        <v>89</v>
      </c>
      <c r="D39" s="16"/>
    </row>
    <row r="41" spans="1:7" ht="14.4" customHeight="1">
      <c r="A41" s="12" t="s">
        <v>77</v>
      </c>
      <c r="B41" s="12"/>
    </row>
    <row r="42" spans="1:7" ht="14.4" customHeight="1">
      <c r="A42" s="12"/>
      <c r="B42" s="12"/>
    </row>
    <row r="43" spans="1:7">
      <c r="A43" s="17" t="s">
        <v>78</v>
      </c>
      <c r="B43" s="17"/>
      <c r="C43" s="17"/>
      <c r="D43" s="17"/>
      <c r="E43" s="17"/>
      <c r="F43" s="17"/>
      <c r="G43" s="17"/>
    </row>
    <row r="44" spans="1:7">
      <c r="A44" s="17"/>
      <c r="B44" s="17"/>
      <c r="C44" s="17"/>
      <c r="D44" s="17"/>
      <c r="E44" s="17"/>
      <c r="F44" s="17"/>
      <c r="G44" s="17"/>
    </row>
    <row r="45" spans="1:7">
      <c r="A45" s="16" t="s">
        <v>24</v>
      </c>
      <c r="B45" s="14" t="s">
        <v>79</v>
      </c>
      <c r="C45" s="14" t="s">
        <v>25</v>
      </c>
      <c r="D45" s="15" t="s">
        <v>58</v>
      </c>
    </row>
    <row r="46" spans="1:7">
      <c r="A46" s="16" t="s">
        <v>80</v>
      </c>
      <c r="B46" s="16" t="s">
        <v>81</v>
      </c>
      <c r="C46" s="16">
        <v>8000</v>
      </c>
      <c r="D46" s="16"/>
    </row>
    <row r="47" spans="1:7">
      <c r="A47" s="16" t="s">
        <v>82</v>
      </c>
      <c r="B47" s="16" t="s">
        <v>83</v>
      </c>
      <c r="C47" s="16">
        <v>12000</v>
      </c>
      <c r="D47" s="16"/>
    </row>
    <row r="48" spans="1:7">
      <c r="A48" s="16" t="s">
        <v>84</v>
      </c>
      <c r="B48" s="16" t="s">
        <v>81</v>
      </c>
      <c r="C48" s="16">
        <v>18000</v>
      </c>
      <c r="D48" s="16"/>
    </row>
    <row r="49" spans="1:6">
      <c r="A49" s="16" t="s">
        <v>85</v>
      </c>
      <c r="B49" s="16" t="s">
        <v>86</v>
      </c>
      <c r="C49" s="16">
        <v>7000</v>
      </c>
      <c r="D49" s="16"/>
    </row>
    <row r="52" spans="1:6" ht="14.4" customHeight="1">
      <c r="A52" s="12" t="s">
        <v>87</v>
      </c>
      <c r="B52" s="12"/>
    </row>
    <row r="53" spans="1:6" ht="14.4" customHeight="1">
      <c r="A53" s="12"/>
      <c r="B53" s="12"/>
    </row>
    <row r="54" spans="1:6">
      <c r="A54" s="17" t="s">
        <v>88</v>
      </c>
      <c r="B54" s="17"/>
      <c r="C54" s="17"/>
      <c r="D54" s="17"/>
      <c r="E54" s="17"/>
      <c r="F54" s="17"/>
    </row>
    <row r="55" spans="1:6">
      <c r="A55" s="17"/>
      <c r="B55" s="17"/>
      <c r="C55" s="17"/>
      <c r="D55" s="17"/>
      <c r="E55" s="17"/>
      <c r="F55" s="17"/>
    </row>
    <row r="56" spans="1:6">
      <c r="A56" s="14" t="s">
        <v>56</v>
      </c>
      <c r="B56" s="14" t="s">
        <v>89</v>
      </c>
      <c r="C56" s="14" t="s">
        <v>90</v>
      </c>
      <c r="D56" s="15" t="s">
        <v>58</v>
      </c>
    </row>
    <row r="57" spans="1:6">
      <c r="A57" s="16" t="s">
        <v>59</v>
      </c>
      <c r="B57" s="16">
        <v>4.5</v>
      </c>
      <c r="C57" s="16">
        <v>4</v>
      </c>
      <c r="D57" s="16"/>
    </row>
    <row r="58" spans="1:6">
      <c r="A58" s="16" t="s">
        <v>60</v>
      </c>
      <c r="B58" s="16">
        <v>3.8</v>
      </c>
      <c r="C58" s="16">
        <v>2</v>
      </c>
      <c r="D58" s="16"/>
    </row>
    <row r="59" spans="1:6">
      <c r="A59" s="16" t="s">
        <v>61</v>
      </c>
      <c r="B59" s="16">
        <v>4.9000000000000004</v>
      </c>
      <c r="C59" s="16">
        <v>5</v>
      </c>
      <c r="D59" s="16"/>
    </row>
    <row r="60" spans="1:6">
      <c r="A60" s="16" t="s">
        <v>62</v>
      </c>
      <c r="B60" s="16">
        <v>3.2</v>
      </c>
      <c r="C60" s="16">
        <v>1</v>
      </c>
      <c r="D60" s="16"/>
    </row>
    <row r="62" spans="1:6" ht="14.4" customHeight="1">
      <c r="A62" s="12" t="s">
        <v>91</v>
      </c>
      <c r="B62" s="12"/>
    </row>
    <row r="63" spans="1:6" ht="14.4" customHeight="1">
      <c r="A63" s="12"/>
      <c r="B63" s="12"/>
    </row>
    <row r="64" spans="1:6">
      <c r="A64" s="13" t="s">
        <v>92</v>
      </c>
      <c r="B64" s="13"/>
      <c r="C64" s="13"/>
      <c r="D64" s="13"/>
      <c r="E64" s="13"/>
      <c r="F64" s="13"/>
    </row>
    <row r="65" spans="1:6">
      <c r="A65" s="13"/>
      <c r="B65" s="13"/>
      <c r="C65" s="13"/>
      <c r="D65" s="13"/>
      <c r="E65" s="13"/>
      <c r="F65" s="13"/>
    </row>
    <row r="66" spans="1:6">
      <c r="A66" s="14" t="s">
        <v>56</v>
      </c>
      <c r="B66" s="14" t="s">
        <v>93</v>
      </c>
      <c r="C66" s="14" t="s">
        <v>94</v>
      </c>
      <c r="D66" s="15" t="s">
        <v>58</v>
      </c>
    </row>
    <row r="67" spans="1:6">
      <c r="A67" s="16" t="s">
        <v>59</v>
      </c>
      <c r="B67" s="16" t="s">
        <v>95</v>
      </c>
      <c r="C67" s="16">
        <v>18000</v>
      </c>
      <c r="D67" s="16"/>
    </row>
    <row r="68" spans="1:6">
      <c r="A68" s="16" t="s">
        <v>60</v>
      </c>
      <c r="B68" s="16" t="s">
        <v>96</v>
      </c>
      <c r="C68" s="16">
        <v>22000</v>
      </c>
      <c r="D68" s="16"/>
    </row>
    <row r="69" spans="1:6">
      <c r="A69" s="16" t="s">
        <v>61</v>
      </c>
      <c r="B69" s="16" t="s">
        <v>95</v>
      </c>
      <c r="C69" s="16">
        <v>25000</v>
      </c>
      <c r="D69" s="16"/>
    </row>
    <row r="70" spans="1:6">
      <c r="A70" s="16" t="s">
        <v>62</v>
      </c>
      <c r="B70" s="16" t="s">
        <v>96</v>
      </c>
      <c r="C70" s="16">
        <v>12000</v>
      </c>
      <c r="D70" s="16"/>
    </row>
    <row r="71" spans="1:6">
      <c r="A71" s="16"/>
      <c r="B71" s="16"/>
      <c r="C71" s="16"/>
      <c r="D71" s="16"/>
    </row>
  </sheetData>
  <mergeCells count="14">
    <mergeCell ref="A62:B63"/>
    <mergeCell ref="A64:F65"/>
    <mergeCell ref="A31:B32"/>
    <mergeCell ref="A33:G34"/>
    <mergeCell ref="A41:B42"/>
    <mergeCell ref="A43:G44"/>
    <mergeCell ref="A52:B53"/>
    <mergeCell ref="A54:F55"/>
    <mergeCell ref="A1:B2"/>
    <mergeCell ref="A3:G4"/>
    <mergeCell ref="A11:B12"/>
    <mergeCell ref="A13:G14"/>
    <mergeCell ref="A21:B22"/>
    <mergeCell ref="A23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And_Not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Hanish Pathak</dc:creator>
  <cp:lastModifiedBy>Hanish Pathak</cp:lastModifiedBy>
  <dcterms:created xsi:type="dcterms:W3CDTF">2026-10-13T09:16:10Z</dcterms:created>
  <dcterms:modified xsi:type="dcterms:W3CDTF">2026-10-13T09:18:13Z</dcterms:modified>
</cp:coreProperties>
</file>